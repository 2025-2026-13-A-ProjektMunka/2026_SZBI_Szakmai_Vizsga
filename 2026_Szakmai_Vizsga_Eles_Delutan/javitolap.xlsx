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ter\Desktop\2026_szakmai_vizsga\2026_Szakmai_Vizsga_Eles_Delutan\"/>
    </mc:Choice>
  </mc:AlternateContent>
  <xr:revisionPtr revIDLastSave="0" documentId="13_ncr:1_{91D97EDB-ED20-4F73-AA78-84E0D2A7E4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ztali" sheetId="1" r:id="rId1"/>
    <sheet name="Backend" sheetId="2" r:id="rId2"/>
    <sheet name="Frontend" sheetId="3" r:id="rId3"/>
    <sheet name="Reszponzív" sheetId="4" r:id="rId4"/>
    <sheet name="Összesíté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H5" i="5" s="1"/>
  <c r="J9" i="4"/>
  <c r="I5" i="5" s="1"/>
  <c r="H4" i="5"/>
  <c r="I4" i="5"/>
  <c r="G4" i="5"/>
  <c r="I16" i="3"/>
  <c r="J16" i="3"/>
  <c r="I15" i="2"/>
  <c r="H3" i="5" s="1"/>
  <c r="J15" i="2"/>
  <c r="I3" i="5" s="1"/>
  <c r="I25" i="1"/>
  <c r="H2" i="5" s="1"/>
  <c r="J25" i="1"/>
  <c r="I2" i="5" s="1"/>
  <c r="C9" i="4"/>
  <c r="B5" i="5" s="1"/>
  <c r="D9" i="4"/>
  <c r="C5" i="5" s="1"/>
  <c r="E9" i="4"/>
  <c r="D5" i="5" s="1"/>
  <c r="F9" i="4"/>
  <c r="E5" i="5" s="1"/>
  <c r="G9" i="4"/>
  <c r="F5" i="5" s="1"/>
  <c r="H9" i="4"/>
  <c r="G5" i="5" s="1"/>
  <c r="H16" i="3"/>
  <c r="G16" i="3"/>
  <c r="F4" i="5" s="1"/>
  <c r="F16" i="3"/>
  <c r="E4" i="5" s="1"/>
  <c r="E16" i="3"/>
  <c r="D4" i="5" s="1"/>
  <c r="D16" i="3"/>
  <c r="C4" i="5" s="1"/>
  <c r="C16" i="3"/>
  <c r="B4" i="5" s="1"/>
  <c r="C15" i="2"/>
  <c r="B3" i="5" s="1"/>
  <c r="D15" i="2"/>
  <c r="C3" i="5" s="1"/>
  <c r="E15" i="2"/>
  <c r="D3" i="5" s="1"/>
  <c r="F15" i="2"/>
  <c r="E3" i="5" s="1"/>
  <c r="G15" i="2"/>
  <c r="F3" i="5" s="1"/>
  <c r="H15" i="2"/>
  <c r="G3" i="5" s="1"/>
  <c r="C25" i="1"/>
  <c r="B2" i="5" s="1"/>
  <c r="D25" i="1"/>
  <c r="C2" i="5" s="1"/>
  <c r="E25" i="1"/>
  <c r="D2" i="5" s="1"/>
  <c r="F25" i="1"/>
  <c r="E2" i="5" s="1"/>
  <c r="G25" i="1"/>
  <c r="F2" i="5" s="1"/>
  <c r="H25" i="1"/>
  <c r="G2" i="5" s="1"/>
  <c r="I6" i="5" l="1"/>
  <c r="I7" i="5" s="1"/>
  <c r="G6" i="5"/>
  <c r="H6" i="5"/>
  <c r="H7" i="5" s="1"/>
  <c r="G7" i="5"/>
  <c r="F6" i="5"/>
  <c r="F7" i="5" s="1"/>
  <c r="E6" i="5"/>
  <c r="E7" i="5" s="1"/>
  <c r="D6" i="5"/>
  <c r="D7" i="5" s="1"/>
  <c r="C6" i="5"/>
  <c r="C7" i="5" s="1"/>
  <c r="B6" i="5"/>
  <c r="B7" i="5" s="1"/>
</calcChain>
</file>

<file path=xl/sharedStrings.xml><?xml version="1.0" encoding="utf-8"?>
<sst xmlns="http://schemas.openxmlformats.org/spreadsheetml/2006/main" count="158" uniqueCount="70">
  <si>
    <t>1pont</t>
  </si>
  <si>
    <t>Megalkotta az osztály konstruktorát.</t>
  </si>
  <si>
    <t>2pont</t>
  </si>
  <si>
    <t>Az adatokat elmentette egy megfelelő adatszerkezetbe.</t>
  </si>
  <si>
    <t>Az eredmény kiíratása a megadott minta szerint.</t>
  </si>
  <si>
    <t>Statisztika készítése.</t>
  </si>
  <si>
    <r>
      <t>Statisztika.txt</t>
    </r>
    <r>
      <rPr>
        <sz val="11"/>
        <color theme="1"/>
        <rFont val="Aptos"/>
        <family val="2"/>
      </rPr>
      <t xml:space="preserve"> állomány létrehozása és a kész statisztika kiíratása bele.</t>
    </r>
  </si>
  <si>
    <r>
      <t xml:space="preserve">Létrehozta a </t>
    </r>
    <r>
      <rPr>
        <b/>
        <sz val="11"/>
        <color theme="1"/>
        <rFont val="Aptos"/>
        <family val="2"/>
      </rPr>
      <t>listView</t>
    </r>
    <r>
      <rPr>
        <sz val="11"/>
        <color theme="1"/>
        <rFont val="Aptos"/>
        <family val="2"/>
      </rPr>
      <t xml:space="preserve"> elemet a megadott minta szerint.</t>
    </r>
  </si>
  <si>
    <r>
      <t xml:space="preserve">Feltöltötte a </t>
    </r>
    <r>
      <rPr>
        <b/>
        <sz val="11"/>
        <color theme="1"/>
        <rFont val="Aptos"/>
        <family val="2"/>
      </rPr>
      <t>listView</t>
    </r>
    <r>
      <rPr>
        <sz val="11"/>
        <color theme="1"/>
        <rFont val="Aptos"/>
        <family val="2"/>
      </rPr>
      <t xml:space="preserve"> elemet.</t>
    </r>
  </si>
  <si>
    <r>
      <t>Legördülő lista (</t>
    </r>
    <r>
      <rPr>
        <b/>
        <sz val="11"/>
        <color theme="1"/>
        <rFont val="Aptos"/>
        <family val="2"/>
      </rPr>
      <t>comboBox</t>
    </r>
    <r>
      <rPr>
        <sz val="11"/>
        <color theme="1"/>
        <rFont val="Aptos"/>
        <family val="2"/>
      </rPr>
      <t>) adatokkal feltöltése.</t>
    </r>
  </si>
  <si>
    <t>Vezérlőelemek elhelyezése az űrlapon.</t>
  </si>
  <si>
    <t>Helyes kiíratás.</t>
  </si>
  <si>
    <r>
      <t xml:space="preserve">Szükséges függőségek telepítése és a </t>
    </r>
    <r>
      <rPr>
        <b/>
        <sz val="11"/>
        <color theme="1"/>
        <rFont val="Aptos"/>
        <family val="2"/>
      </rPr>
      <t>package.json</t>
    </r>
    <r>
      <rPr>
        <sz val="11"/>
        <color theme="1"/>
        <rFont val="Aptos"/>
        <family val="2"/>
      </rPr>
      <t xml:space="preserve"> állomány szerkesztése.</t>
    </r>
  </si>
  <si>
    <r>
      <t>Thunder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Client</t>
    </r>
    <r>
      <rPr>
        <sz val="11"/>
        <color theme="1"/>
        <rFont val="Aptos"/>
        <family val="2"/>
      </rPr>
      <t>-tel adatok feltöltése.</t>
    </r>
  </si>
  <si>
    <r>
      <t>Thunder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Client</t>
    </r>
    <r>
      <rPr>
        <sz val="11"/>
        <color theme="1"/>
        <rFont val="Aptos"/>
        <family val="2"/>
      </rPr>
      <t>-tel adat törlése.</t>
    </r>
  </si>
  <si>
    <t>Asztali</t>
  </si>
  <si>
    <t>Backend</t>
  </si>
  <si>
    <t>Frontend</t>
  </si>
  <si>
    <t>Reszponzív</t>
  </si>
  <si>
    <r>
      <t>Szükséges függőség (</t>
    </r>
    <r>
      <rPr>
        <b/>
        <sz val="11"/>
        <color theme="1"/>
        <rFont val="Aptos"/>
        <family val="2"/>
      </rPr>
      <t>react-router-dom</t>
    </r>
    <r>
      <rPr>
        <sz val="11"/>
        <color theme="1"/>
        <rFont val="Aptos"/>
        <family val="2"/>
      </rPr>
      <t>) telepítése.</t>
    </r>
  </si>
  <si>
    <r>
      <t xml:space="preserve">Tetszőleges technikával </t>
    </r>
    <r>
      <rPr>
        <b/>
        <sz val="11"/>
        <color theme="1"/>
        <rFont val="Aptos"/>
        <family val="2"/>
      </rPr>
      <t>Home</t>
    </r>
    <r>
      <rPr>
        <sz val="11"/>
        <color theme="1"/>
        <rFont val="Aptos"/>
        <family val="2"/>
      </rPr>
      <t xml:space="preserve"> oldal reszponzívvá tétele.</t>
    </r>
  </si>
  <si>
    <t>Búza Csaba</t>
  </si>
  <si>
    <t>Csomós András István</t>
  </si>
  <si>
    <t>Jójárt Mátyás</t>
  </si>
  <si>
    <t>Márkus Regő Benedek</t>
  </si>
  <si>
    <t>Mátó Lázár</t>
  </si>
  <si>
    <t>Pinczési Márk</t>
  </si>
  <si>
    <t>Sebők Dominik</t>
  </si>
  <si>
    <r>
      <t xml:space="preserve">Adatok kiíratása a </t>
    </r>
    <r>
      <rPr>
        <b/>
        <sz val="11"/>
        <color theme="1"/>
        <rFont val="Aptos"/>
        <family val="2"/>
      </rPr>
      <t>label</t>
    </r>
    <r>
      <rPr>
        <sz val="11"/>
        <color theme="1"/>
        <rFont val="Aptos"/>
        <family val="2"/>
      </rPr>
      <t>-be.</t>
    </r>
  </si>
  <si>
    <t>Szűrés beállítása.</t>
  </si>
  <si>
    <t>Kiírandó adatok meghatározása.</t>
  </si>
  <si>
    <t>Elekes Norbert Károly</t>
  </si>
  <si>
    <r>
      <rPr>
        <b/>
        <sz val="11"/>
        <color theme="1"/>
        <rFont val="Calibri"/>
        <family val="2"/>
        <charset val="238"/>
        <scheme val="minor"/>
      </rPr>
      <t>MongoDB</t>
    </r>
    <r>
      <rPr>
        <sz val="11"/>
        <color theme="1"/>
        <rFont val="Calibri"/>
        <family val="2"/>
        <scheme val="minor"/>
      </rPr>
      <t xml:space="preserve"> műveletek elvégzése.</t>
    </r>
  </si>
  <si>
    <t>server.js és .env szerkesztése.</t>
  </si>
  <si>
    <t>Csatlakozás az adatbázishoz.</t>
  </si>
  <si>
    <r>
      <t xml:space="preserve">Tagallamok.states.json </t>
    </r>
    <r>
      <rPr>
        <sz val="11"/>
        <color theme="1"/>
        <rFont val="Aptos"/>
        <family val="2"/>
      </rPr>
      <t>beimportálása.</t>
    </r>
  </si>
  <si>
    <r>
      <t>State</t>
    </r>
    <r>
      <rPr>
        <sz val="11"/>
        <color theme="1"/>
        <rFont val="Aptos"/>
        <family val="2"/>
      </rPr>
      <t xml:space="preserve"> modell létrehozása.</t>
    </r>
  </si>
  <si>
    <r>
      <rPr>
        <b/>
        <sz val="11"/>
        <color theme="1"/>
        <rFont val="Aptos"/>
        <family val="2"/>
      </rPr>
      <t>User</t>
    </r>
    <r>
      <rPr>
        <sz val="11"/>
        <color theme="1"/>
        <rFont val="Aptos"/>
        <family val="2"/>
      </rPr>
      <t xml:space="preserve"> modell létrehozása.</t>
    </r>
  </si>
  <si>
    <r>
      <rPr>
        <b/>
        <sz val="11"/>
        <color theme="1"/>
        <rFont val="Aptos"/>
        <family val="2"/>
      </rPr>
      <t>POST</t>
    </r>
    <r>
      <rPr>
        <sz val="11"/>
        <color theme="1"/>
        <rFont val="Aptos"/>
        <family val="2"/>
      </rPr>
      <t xml:space="preserve"> metódus.</t>
    </r>
  </si>
  <si>
    <r>
      <t xml:space="preserve">DELETE </t>
    </r>
    <r>
      <rPr>
        <sz val="11"/>
        <color theme="1"/>
        <rFont val="Aptos"/>
        <family val="2"/>
      </rPr>
      <t>metódus</t>
    </r>
    <r>
      <rPr>
        <b/>
        <sz val="11"/>
        <color theme="1"/>
        <rFont val="Aptos"/>
        <family val="2"/>
      </rPr>
      <t>.</t>
    </r>
  </si>
  <si>
    <r>
      <t xml:space="preserve">PATCH </t>
    </r>
    <r>
      <rPr>
        <sz val="11"/>
        <color theme="1"/>
        <rFont val="Aptos"/>
        <family val="2"/>
      </rPr>
      <t>metódus</t>
    </r>
    <r>
      <rPr>
        <b/>
        <sz val="11"/>
        <color theme="1"/>
        <rFont val="Aptos"/>
        <family val="2"/>
      </rPr>
      <t>.</t>
    </r>
  </si>
  <si>
    <r>
      <t>Thunder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Client</t>
    </r>
    <r>
      <rPr>
        <sz val="11"/>
        <color theme="1"/>
        <rFont val="Aptos"/>
        <family val="2"/>
      </rPr>
      <t>-tel adat módosítása.</t>
    </r>
  </si>
  <si>
    <r>
      <t>Home</t>
    </r>
    <r>
      <rPr>
        <sz val="11"/>
        <color theme="1"/>
        <rFont val="Aptos"/>
        <family val="2"/>
      </rPr>
      <t xml:space="preserve"> oldal szerkesztése.</t>
    </r>
  </si>
  <si>
    <r>
      <rPr>
        <b/>
        <sz val="11"/>
        <color theme="1"/>
        <rFont val="Aptos"/>
        <family val="2"/>
      </rPr>
      <t>App.jsx</t>
    </r>
    <r>
      <rPr>
        <sz val="11"/>
        <color theme="1"/>
        <rFont val="Aptos"/>
        <family val="2"/>
      </rPr>
      <t xml:space="preserve"> állomány helyes szerkesztése.</t>
    </r>
  </si>
  <si>
    <r>
      <rPr>
        <b/>
        <sz val="11"/>
        <color theme="1"/>
        <rFont val="Aptos"/>
        <family val="2"/>
      </rPr>
      <t>Register.jsx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</si>
  <si>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Register.css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</si>
  <si>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Navbar.jsx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</si>
  <si>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Navbar.css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</si>
  <si>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Login.jsx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</si>
  <si>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Login.css</t>
    </r>
    <r>
      <rPr>
        <sz val="11"/>
        <color theme="1"/>
        <rFont val="Aptos"/>
        <family val="2"/>
      </rPr>
      <t xml:space="preserve"> állomány szerkesztése.</t>
    </r>
  </si>
  <si>
    <r>
      <t xml:space="preserve">response </t>
    </r>
    <r>
      <rPr>
        <sz val="11"/>
        <color theme="1"/>
        <rFont val="Aptos"/>
        <family val="2"/>
      </rPr>
      <t>helyes kezelése</t>
    </r>
  </si>
  <si>
    <t>Mezők kötelező kitöltése.</t>
  </si>
  <si>
    <r>
      <t>input</t>
    </r>
    <r>
      <rPr>
        <sz val="11"/>
        <color theme="1"/>
        <rFont val="Aptos"/>
        <family val="2"/>
      </rPr>
      <t>-okban helyes onChange</t>
    </r>
    <r>
      <rPr>
        <b/>
        <sz val="11"/>
        <color theme="1"/>
        <rFont val="Aptos"/>
        <family val="2"/>
      </rPr>
      <t>.</t>
    </r>
  </si>
  <si>
    <r>
      <t xml:space="preserve">async fetch </t>
    </r>
    <r>
      <rPr>
        <sz val="11"/>
        <color theme="1"/>
        <rFont val="Aptos"/>
        <family val="2"/>
      </rPr>
      <t>függvény adatok lekérésére</t>
    </r>
    <r>
      <rPr>
        <b/>
        <sz val="11"/>
        <color theme="1"/>
        <rFont val="Aptos"/>
        <family val="2"/>
      </rPr>
      <t>.</t>
    </r>
  </si>
  <si>
    <r>
      <t xml:space="preserve">backend </t>
    </r>
    <r>
      <rPr>
        <sz val="11"/>
        <color theme="1"/>
        <rFont val="Aptos"/>
        <family val="2"/>
      </rPr>
      <t>szerkesztése.</t>
    </r>
  </si>
  <si>
    <r>
      <t xml:space="preserve">Tetszőleges technikával </t>
    </r>
    <r>
      <rPr>
        <b/>
        <sz val="11"/>
        <color theme="1"/>
        <rFont val="Aptos"/>
        <family val="2"/>
      </rPr>
      <t>Register</t>
    </r>
    <r>
      <rPr>
        <sz val="11"/>
        <color theme="1"/>
        <rFont val="Aptos"/>
        <family val="2"/>
      </rPr>
      <t xml:space="preserve"> oldal reszponzívvá tétele.</t>
    </r>
  </si>
  <si>
    <r>
      <t xml:space="preserve">Tetszőleges technikával </t>
    </r>
    <r>
      <rPr>
        <b/>
        <sz val="11"/>
        <color theme="1"/>
        <rFont val="Aptos"/>
        <family val="2"/>
      </rPr>
      <t>Login</t>
    </r>
    <r>
      <rPr>
        <sz val="11"/>
        <color theme="1"/>
        <rFont val="Aptos"/>
        <family val="2"/>
      </rPr>
      <t xml:space="preserve"> oldal reszponzívvá tétele.</t>
    </r>
  </si>
  <si>
    <r>
      <t xml:space="preserve">Létrehozta a </t>
    </r>
    <r>
      <rPr>
        <b/>
        <sz val="11"/>
        <color theme="1"/>
        <rFont val="Aptos"/>
        <family val="2"/>
      </rPr>
      <t>NATOTagallamokKonzol</t>
    </r>
    <r>
      <rPr>
        <sz val="11"/>
        <color theme="1"/>
        <rFont val="Aptos"/>
        <family val="2"/>
      </rPr>
      <t xml:space="preserve"> projektet a konzolos felületen.</t>
    </r>
  </si>
  <si>
    <r>
      <t xml:space="preserve">Létrehozta a </t>
    </r>
    <r>
      <rPr>
        <b/>
        <sz val="11"/>
        <color theme="1"/>
        <rFont val="Aptos"/>
        <family val="2"/>
      </rPr>
      <t>Tagallam</t>
    </r>
    <r>
      <rPr>
        <sz val="11"/>
        <color theme="1"/>
        <rFont val="Aptos"/>
        <family val="2"/>
      </rPr>
      <t xml:space="preserve"> osztályt a megfelelő adattagokkal.</t>
    </r>
  </si>
  <si>
    <r>
      <t xml:space="preserve">A </t>
    </r>
    <r>
      <rPr>
        <b/>
        <sz val="11"/>
        <color theme="1"/>
        <rFont val="Aptos"/>
        <family val="2"/>
      </rPr>
      <t>NATO_tagallamok.txt</t>
    </r>
    <r>
      <rPr>
        <sz val="11"/>
        <color theme="1"/>
        <rFont val="Aptos"/>
        <family val="2"/>
      </rPr>
      <t xml:space="preserve">  állomány tartalmát beolvasta.</t>
    </r>
  </si>
  <si>
    <t>Tagállamok számának meghatározása.</t>
  </si>
  <si>
    <t>Tagállamok számának kiíratása a megadott minta szerint.</t>
  </si>
  <si>
    <t>Legkisebb és legnagyobb haderejű tagállam meghatározása.</t>
  </si>
  <si>
    <t>Haderő/lakossag arány szűrése.</t>
  </si>
  <si>
    <r>
      <t xml:space="preserve">Létrehozta az </t>
    </r>
    <r>
      <rPr>
        <b/>
        <sz val="11"/>
        <color theme="1"/>
        <rFont val="Aptos"/>
        <family val="2"/>
      </rPr>
      <t>NATOTagallamokWinForm</t>
    </r>
    <r>
      <rPr>
        <sz val="11"/>
        <color theme="1"/>
        <rFont val="Aptos"/>
        <family val="2"/>
      </rPr>
      <t xml:space="preserve"> projektet a winformos felületen és csatolta a </t>
    </r>
    <r>
      <rPr>
        <b/>
        <sz val="11"/>
        <color theme="1"/>
        <rFont val="Aptos"/>
        <family val="2"/>
      </rPr>
      <t>NATOTagallamokKonzol</t>
    </r>
    <r>
      <rPr>
        <sz val="11"/>
        <color theme="1"/>
        <rFont val="Aptos"/>
        <family val="2"/>
      </rPr>
      <t xml:space="preserve"> projektet.</t>
    </r>
  </si>
  <si>
    <r>
      <t xml:space="preserve">Az űrlapot elnevezte a </t>
    </r>
    <r>
      <rPr>
        <b/>
        <sz val="11"/>
        <color theme="1"/>
        <rFont val="Aptos"/>
        <family val="2"/>
      </rPr>
      <t>NATO Tagállamok</t>
    </r>
    <r>
      <rPr>
        <sz val="11"/>
        <color theme="1"/>
        <rFont val="Aptos"/>
        <family val="2"/>
      </rPr>
      <t xml:space="preserve"> névre.</t>
    </r>
  </si>
  <si>
    <r>
      <t xml:space="preserve">.tagallamok-kontener 1200px </t>
    </r>
    <r>
      <rPr>
        <sz val="11"/>
        <color theme="1"/>
        <rFont val="Aptos"/>
        <family val="2"/>
      </rPr>
      <t xml:space="preserve"> beállítása.</t>
    </r>
  </si>
  <si>
    <r>
      <t xml:space="preserve">.tagallamok-kontener 750px </t>
    </r>
    <r>
      <rPr>
        <sz val="11"/>
        <color theme="1"/>
        <rFont val="Aptos"/>
        <family val="2"/>
      </rPr>
      <t xml:space="preserve"> beállítása.</t>
    </r>
  </si>
  <si>
    <r>
      <t xml:space="preserve">.tagallamok-kontener-belso 1200px </t>
    </r>
    <r>
      <rPr>
        <sz val="11"/>
        <color theme="1"/>
        <rFont val="Aptos"/>
        <family val="2"/>
      </rPr>
      <t xml:space="preserve"> beállítása.</t>
    </r>
  </si>
  <si>
    <r>
      <t xml:space="preserve">.tagallamok-kontener-belso 750px </t>
    </r>
    <r>
      <rPr>
        <sz val="11"/>
        <color theme="1"/>
        <rFont val="Aptos"/>
        <family val="2"/>
      </rPr>
      <t xml:space="preserve"> beállítása.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</si>
</sst>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5" fillId="0" borderId="2" xfId="0" applyFont="1" applyBorder="1" applyAlignment="1">
      <alignment horizontal="left" vertical="center" wrapText="1" indent="5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2" xfId="0" applyBorder="1"/>
    <xf numFmtId="9" fontId="0" fillId="0" borderId="1" xfId="1" applyFont="1" applyBorder="1"/>
    <xf numFmtId="0" fontId="3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/>
  </sheetViews>
  <sheetFormatPr defaultRowHeight="15" x14ac:dyDescent="0.25"/>
  <cols>
    <col min="1" max="1" width="37" customWidth="1"/>
    <col min="3" max="3" width="10.85546875" customWidth="1"/>
    <col min="4" max="4" width="19.7109375" customWidth="1"/>
    <col min="5" max="5" width="19.85546875" customWidth="1"/>
    <col min="6" max="6" width="12.28515625" customWidth="1"/>
    <col min="7" max="7" width="20.7109375" customWidth="1"/>
    <col min="8" max="8" width="10.140625" customWidth="1"/>
    <col min="9" max="9" width="12.7109375" customWidth="1"/>
    <col min="10" max="10" width="14.28515625" customWidth="1"/>
  </cols>
  <sheetData>
    <row r="1" spans="1:10" ht="20.25" thickTop="1" thickBot="1" x14ac:dyDescent="0.3">
      <c r="A1" s="3"/>
      <c r="B1" s="4"/>
      <c r="C1" s="1" t="s">
        <v>21</v>
      </c>
      <c r="D1" s="1" t="s">
        <v>22</v>
      </c>
      <c r="E1" s="1" t="s">
        <v>31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ht="36.75" customHeight="1" thickTop="1" thickBot="1" x14ac:dyDescent="0.3">
      <c r="A2" s="5" t="s">
        <v>57</v>
      </c>
      <c r="B2" s="4" t="s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ht="31.5" thickTop="1" thickBot="1" x14ac:dyDescent="0.3">
      <c r="A3" s="7" t="s">
        <v>58</v>
      </c>
      <c r="B3" s="8" t="s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ht="36.75" customHeight="1" thickTop="1" thickBot="1" x14ac:dyDescent="0.3">
      <c r="A4" s="5" t="s">
        <v>1</v>
      </c>
      <c r="B4" s="4" t="s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42.75" customHeight="1" thickTop="1" thickBot="1" x14ac:dyDescent="0.3">
      <c r="A5" s="5" t="s">
        <v>59</v>
      </c>
      <c r="B5" s="4" t="s">
        <v>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ht="39" customHeight="1" thickTop="1" thickBot="1" x14ac:dyDescent="0.3">
      <c r="A6" s="5" t="s">
        <v>3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ht="39" customHeight="1" thickTop="1" thickBot="1" x14ac:dyDescent="0.3">
      <c r="A7" s="5" t="s">
        <v>60</v>
      </c>
      <c r="B7" s="4" t="s">
        <v>0</v>
      </c>
      <c r="C7" s="2"/>
      <c r="D7" s="2"/>
      <c r="E7" s="2"/>
      <c r="F7" s="2"/>
      <c r="G7" s="2"/>
      <c r="H7" s="2"/>
      <c r="I7" s="2"/>
      <c r="J7" s="2"/>
    </row>
    <row r="8" spans="1:10" ht="31.5" thickTop="1" thickBot="1" x14ac:dyDescent="0.3">
      <c r="A8" s="5" t="s">
        <v>61</v>
      </c>
      <c r="B8" s="4" t="s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ht="31.5" thickTop="1" thickBot="1" x14ac:dyDescent="0.3">
      <c r="A9" s="5" t="s">
        <v>62</v>
      </c>
      <c r="B9" s="4" t="s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ht="33.75" customHeight="1" thickTop="1" thickBot="1" x14ac:dyDescent="0.3">
      <c r="A10" s="5" t="s">
        <v>4</v>
      </c>
      <c r="B10" s="4" t="s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ht="20.25" thickTop="1" thickBot="1" x14ac:dyDescent="0.3">
      <c r="A11" s="5" t="s">
        <v>63</v>
      </c>
      <c r="B11" s="4" t="s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ht="31.5" thickTop="1" thickBot="1" x14ac:dyDescent="0.3">
      <c r="A12" s="5" t="s">
        <v>4</v>
      </c>
      <c r="B12" s="4" t="s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ht="20.25" thickTop="1" thickBot="1" x14ac:dyDescent="0.3">
      <c r="A13" s="5" t="s">
        <v>5</v>
      </c>
      <c r="B13" s="4" t="s">
        <v>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ht="30.75" customHeight="1" thickTop="1" thickBot="1" x14ac:dyDescent="0.3">
      <c r="A14" s="6" t="s">
        <v>6</v>
      </c>
      <c r="B14" s="4" t="s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ht="61.5" customHeight="1" thickTop="1" thickBot="1" x14ac:dyDescent="0.3">
      <c r="A15" s="5" t="s">
        <v>64</v>
      </c>
      <c r="B15" s="4" t="s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ht="34.5" customHeight="1" thickTop="1" thickBot="1" x14ac:dyDescent="0.3">
      <c r="A16" s="5" t="s">
        <v>65</v>
      </c>
      <c r="B16" s="4" t="s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ht="31.5" thickTop="1" thickBot="1" x14ac:dyDescent="0.3">
      <c r="A17" s="5" t="s">
        <v>7</v>
      </c>
      <c r="B17" s="4" t="s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ht="20.25" thickTop="1" thickBot="1" x14ac:dyDescent="0.3">
      <c r="A18" s="5" t="s">
        <v>8</v>
      </c>
      <c r="B18" s="4" t="s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ht="31.5" thickTop="1" thickBot="1" x14ac:dyDescent="0.3">
      <c r="A19" s="5" t="s">
        <v>9</v>
      </c>
      <c r="B19" s="4" t="s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ht="38.25" customHeight="1" thickTop="1" thickBot="1" x14ac:dyDescent="0.3">
      <c r="A20" s="11" t="s">
        <v>29</v>
      </c>
      <c r="B20" s="4" t="s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ht="20.25" thickTop="1" thickBot="1" x14ac:dyDescent="0.3">
      <c r="A21" s="5" t="s">
        <v>28</v>
      </c>
      <c r="B21" s="4" t="s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ht="31.5" thickTop="1" thickBot="1" x14ac:dyDescent="0.3">
      <c r="A22" s="5" t="s">
        <v>10</v>
      </c>
      <c r="B22" s="4" t="s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ht="20.25" thickTop="1" thickBot="1" x14ac:dyDescent="0.3">
      <c r="A23" s="5" t="s">
        <v>30</v>
      </c>
      <c r="B23" s="4" t="s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ht="20.25" thickTop="1" thickBot="1" x14ac:dyDescent="0.3">
      <c r="A24" s="5" t="s">
        <v>11</v>
      </c>
      <c r="B24" s="4" t="s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ht="15.75" thickTop="1" x14ac:dyDescent="0.25">
      <c r="C25" s="1">
        <f t="shared" ref="C25:J25" si="0">SUM(C2:C24)</f>
        <v>0</v>
      </c>
      <c r="D25" s="1">
        <f t="shared" si="0"/>
        <v>0</v>
      </c>
      <c r="E25" s="1">
        <f t="shared" si="0"/>
        <v>0</v>
      </c>
      <c r="F25" s="1">
        <f t="shared" si="0"/>
        <v>0</v>
      </c>
      <c r="G25" s="1">
        <f t="shared" si="0"/>
        <v>0</v>
      </c>
      <c r="H25" s="1">
        <f t="shared" si="0"/>
        <v>0</v>
      </c>
      <c r="I25" s="1">
        <f t="shared" si="0"/>
        <v>0</v>
      </c>
      <c r="J25" s="1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4A17-C1A5-4E87-83E6-0BA1C14AF6D8}">
  <dimension ref="A1:J15"/>
  <sheetViews>
    <sheetView workbookViewId="0"/>
  </sheetViews>
  <sheetFormatPr defaultRowHeight="15" x14ac:dyDescent="0.25"/>
  <cols>
    <col min="1" max="1" width="37.5703125" customWidth="1"/>
    <col min="3" max="3" width="11.42578125" customWidth="1"/>
    <col min="4" max="4" width="20.140625" customWidth="1"/>
    <col min="5" max="5" width="20" customWidth="1"/>
    <col min="6" max="6" width="12.85546875" customWidth="1"/>
    <col min="7" max="7" width="20.5703125" customWidth="1"/>
    <col min="8" max="8" width="10.28515625" customWidth="1"/>
    <col min="9" max="9" width="12.85546875" customWidth="1"/>
    <col min="10" max="10" width="14.85546875" customWidth="1"/>
  </cols>
  <sheetData>
    <row r="1" spans="1:10" ht="16.5" thickTop="1" thickBot="1" x14ac:dyDescent="0.3">
      <c r="A1" s="9"/>
      <c r="B1" s="9"/>
      <c r="C1" s="1" t="s">
        <v>21</v>
      </c>
      <c r="D1" s="1" t="s">
        <v>22</v>
      </c>
      <c r="E1" s="1" t="s">
        <v>31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ht="45" customHeight="1" thickTop="1" thickBot="1" x14ac:dyDescent="0.3">
      <c r="A2" s="12" t="s">
        <v>32</v>
      </c>
      <c r="B2" s="4" t="s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1">
        <v>0</v>
      </c>
      <c r="J2" s="1">
        <v>0</v>
      </c>
    </row>
    <row r="3" spans="1:10" ht="31.5" thickTop="1" thickBot="1" x14ac:dyDescent="0.3">
      <c r="A3" s="5" t="s">
        <v>12</v>
      </c>
      <c r="B3" s="4" t="s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1">
        <v>0</v>
      </c>
      <c r="J3" s="1">
        <v>0</v>
      </c>
    </row>
    <row r="4" spans="1:10" ht="20.25" thickTop="1" thickBot="1" x14ac:dyDescent="0.3">
      <c r="A4" s="5" t="s">
        <v>33</v>
      </c>
      <c r="B4" s="4" t="s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1">
        <v>0</v>
      </c>
      <c r="J4" s="1">
        <v>0</v>
      </c>
    </row>
    <row r="5" spans="1:10" ht="20.25" thickTop="1" thickBot="1" x14ac:dyDescent="0.3">
      <c r="A5" s="5" t="s">
        <v>34</v>
      </c>
      <c r="B5" s="4" t="s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1">
        <v>0</v>
      </c>
      <c r="J5" s="1">
        <v>0</v>
      </c>
    </row>
    <row r="6" spans="1:10" ht="31.5" thickTop="1" thickBot="1" x14ac:dyDescent="0.3">
      <c r="A6" s="6" t="s">
        <v>35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1">
        <v>0</v>
      </c>
      <c r="J6" s="1">
        <v>0</v>
      </c>
    </row>
    <row r="7" spans="1:10" ht="20.25" thickTop="1" thickBot="1" x14ac:dyDescent="0.3">
      <c r="A7" s="6" t="s">
        <v>36</v>
      </c>
      <c r="B7" s="4" t="s">
        <v>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1">
        <v>0</v>
      </c>
      <c r="J7" s="1">
        <v>0</v>
      </c>
    </row>
    <row r="8" spans="1:10" ht="20.25" thickTop="1" thickBot="1" x14ac:dyDescent="0.3">
      <c r="A8" s="5" t="s">
        <v>37</v>
      </c>
      <c r="B8" s="4" t="s">
        <v>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1">
        <v>0</v>
      </c>
      <c r="J8" s="1">
        <v>0</v>
      </c>
    </row>
    <row r="9" spans="1:10" ht="20.25" thickTop="1" thickBot="1" x14ac:dyDescent="0.3">
      <c r="A9" s="5" t="s">
        <v>38</v>
      </c>
      <c r="B9" s="4" t="s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1">
        <v>0</v>
      </c>
      <c r="J9" s="1">
        <v>0</v>
      </c>
    </row>
    <row r="10" spans="1:10" ht="20.25" thickTop="1" thickBot="1" x14ac:dyDescent="0.3">
      <c r="A10" s="6" t="s">
        <v>13</v>
      </c>
      <c r="B10" s="4" t="s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1">
        <v>0</v>
      </c>
      <c r="J10" s="1">
        <v>0</v>
      </c>
    </row>
    <row r="11" spans="1:10" ht="20.25" thickTop="1" thickBot="1" x14ac:dyDescent="0.3">
      <c r="A11" s="6" t="s">
        <v>39</v>
      </c>
      <c r="B11" s="4" t="s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1">
        <v>0</v>
      </c>
      <c r="J11" s="1">
        <v>0</v>
      </c>
    </row>
    <row r="12" spans="1:10" ht="20.25" thickTop="1" thickBot="1" x14ac:dyDescent="0.3">
      <c r="A12" s="6" t="s">
        <v>14</v>
      </c>
      <c r="B12" s="4" t="s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1">
        <v>0</v>
      </c>
      <c r="J12" s="1">
        <v>0</v>
      </c>
    </row>
    <row r="13" spans="1:10" ht="20.25" thickTop="1" thickBot="1" x14ac:dyDescent="0.3">
      <c r="A13" s="6" t="s">
        <v>40</v>
      </c>
      <c r="B13" s="4" t="s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1">
        <v>0</v>
      </c>
      <c r="J13" s="1">
        <v>0</v>
      </c>
    </row>
    <row r="14" spans="1:10" ht="33.75" customHeight="1" thickTop="1" thickBot="1" x14ac:dyDescent="0.3">
      <c r="A14" s="6" t="s">
        <v>41</v>
      </c>
      <c r="B14" s="4" t="s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1">
        <v>0</v>
      </c>
      <c r="J14" s="1">
        <v>0</v>
      </c>
    </row>
    <row r="15" spans="1:10" ht="15.75" thickTop="1" x14ac:dyDescent="0.25">
      <c r="C15" s="1">
        <f t="shared" ref="C15:J15" si="0">SUM(C2:C14)</f>
        <v>0</v>
      </c>
      <c r="D15" s="1">
        <f t="shared" si="0"/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0"/>
        <v>0</v>
      </c>
      <c r="I15" s="1">
        <f t="shared" si="0"/>
        <v>0</v>
      </c>
      <c r="J15" s="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AD2F-87E9-4B26-8998-74EA23F108BE}">
  <dimension ref="A1:J16"/>
  <sheetViews>
    <sheetView workbookViewId="0"/>
  </sheetViews>
  <sheetFormatPr defaultRowHeight="15" x14ac:dyDescent="0.25"/>
  <cols>
    <col min="1" max="1" width="35.85546875" customWidth="1"/>
    <col min="3" max="3" width="10.5703125" customWidth="1"/>
    <col min="4" max="4" width="19.7109375" customWidth="1"/>
    <col min="5" max="5" width="20" customWidth="1"/>
    <col min="6" max="6" width="12.85546875" customWidth="1"/>
    <col min="7" max="7" width="21.28515625" customWidth="1"/>
    <col min="8" max="8" width="10.42578125" customWidth="1"/>
    <col min="9" max="9" width="13.140625" customWidth="1"/>
    <col min="10" max="10" width="14" customWidth="1"/>
  </cols>
  <sheetData>
    <row r="1" spans="1:10" ht="16.5" thickTop="1" thickBot="1" x14ac:dyDescent="0.3">
      <c r="A1" s="9"/>
      <c r="B1" s="9"/>
      <c r="C1" s="1" t="s">
        <v>21</v>
      </c>
      <c r="D1" s="1" t="s">
        <v>22</v>
      </c>
      <c r="E1" s="1" t="s">
        <v>31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ht="44.25" customHeight="1" thickTop="1" thickBot="1" x14ac:dyDescent="0.3">
      <c r="A2" s="5" t="s">
        <v>19</v>
      </c>
      <c r="B2" s="4" t="s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1">
        <v>0</v>
      </c>
      <c r="J2" s="1">
        <v>0</v>
      </c>
    </row>
    <row r="3" spans="1:10" ht="20.25" thickTop="1" thickBot="1" x14ac:dyDescent="0.3">
      <c r="A3" s="6" t="s">
        <v>42</v>
      </c>
      <c r="B3" s="4" t="s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1">
        <v>0</v>
      </c>
      <c r="J3" s="1">
        <v>0</v>
      </c>
    </row>
    <row r="4" spans="1:10" ht="45.75" customHeight="1" thickTop="1" thickBot="1" x14ac:dyDescent="0.3">
      <c r="A4" s="5" t="s">
        <v>43</v>
      </c>
      <c r="B4" s="4" t="s">
        <v>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1">
        <v>0</v>
      </c>
      <c r="J4" s="1">
        <v>0</v>
      </c>
    </row>
    <row r="5" spans="1:10" ht="45.75" customHeight="1" thickTop="1" thickBot="1" x14ac:dyDescent="0.3">
      <c r="A5" s="5" t="s">
        <v>46</v>
      </c>
      <c r="B5" s="4" t="s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1">
        <v>0</v>
      </c>
      <c r="J5" s="1">
        <v>0</v>
      </c>
    </row>
    <row r="6" spans="1:10" ht="20.25" thickTop="1" thickBot="1" x14ac:dyDescent="0.3">
      <c r="A6" s="5" t="s">
        <v>47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1">
        <v>0</v>
      </c>
      <c r="J6" s="1">
        <v>0</v>
      </c>
    </row>
    <row r="7" spans="1:10" ht="20.25" thickTop="1" thickBot="1" x14ac:dyDescent="0.3">
      <c r="A7" s="5" t="s">
        <v>44</v>
      </c>
      <c r="B7" s="4" t="s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1">
        <v>0</v>
      </c>
      <c r="J7" s="1">
        <v>0</v>
      </c>
    </row>
    <row r="8" spans="1:10" ht="31.5" thickTop="1" thickBot="1" x14ac:dyDescent="0.3">
      <c r="A8" s="5" t="s">
        <v>45</v>
      </c>
      <c r="B8" s="4" t="s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1">
        <v>0</v>
      </c>
      <c r="J8" s="1">
        <v>0</v>
      </c>
    </row>
    <row r="9" spans="1:10" ht="33.75" customHeight="1" thickTop="1" thickBot="1" x14ac:dyDescent="0.3">
      <c r="A9" s="5" t="s">
        <v>48</v>
      </c>
      <c r="B9" s="4" t="s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1">
        <v>0</v>
      </c>
      <c r="J9" s="1">
        <v>0</v>
      </c>
    </row>
    <row r="10" spans="1:10" ht="30" customHeight="1" thickTop="1" thickBot="1" x14ac:dyDescent="0.3">
      <c r="A10" s="5" t="s">
        <v>49</v>
      </c>
      <c r="B10" s="4" t="s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1">
        <v>0</v>
      </c>
      <c r="J10" s="1">
        <v>0</v>
      </c>
    </row>
    <row r="11" spans="1:10" ht="36.75" customHeight="1" thickTop="1" thickBot="1" x14ac:dyDescent="0.3">
      <c r="A11" s="6" t="s">
        <v>52</v>
      </c>
      <c r="B11" s="4" t="s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1">
        <v>0</v>
      </c>
      <c r="J11" s="1">
        <v>0</v>
      </c>
    </row>
    <row r="12" spans="1:10" ht="30.75" customHeight="1" thickTop="1" thickBot="1" x14ac:dyDescent="0.3">
      <c r="A12" s="11" t="s">
        <v>51</v>
      </c>
      <c r="B12" s="4" t="s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1">
        <v>0</v>
      </c>
      <c r="J12" s="1">
        <v>0</v>
      </c>
    </row>
    <row r="13" spans="1:10" ht="36.75" customHeight="1" thickTop="1" thickBot="1" x14ac:dyDescent="0.3">
      <c r="A13" s="6" t="s">
        <v>53</v>
      </c>
      <c r="B13" s="4" t="s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1">
        <v>0</v>
      </c>
      <c r="J13" s="1">
        <v>0</v>
      </c>
    </row>
    <row r="14" spans="1:10" ht="20.25" thickTop="1" thickBot="1" x14ac:dyDescent="0.3">
      <c r="A14" s="6" t="s">
        <v>54</v>
      </c>
      <c r="B14" s="4" t="s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1">
        <v>0</v>
      </c>
      <c r="J14" s="1">
        <v>0</v>
      </c>
    </row>
    <row r="15" spans="1:10" ht="20.25" thickTop="1" thickBot="1" x14ac:dyDescent="0.3">
      <c r="A15" s="6" t="s">
        <v>50</v>
      </c>
      <c r="B15" s="4" t="s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1">
        <v>0</v>
      </c>
      <c r="J15" s="1">
        <v>0</v>
      </c>
    </row>
    <row r="16" spans="1:10" ht="15.75" thickTop="1" x14ac:dyDescent="0.25">
      <c r="C16" s="1">
        <f t="shared" ref="C16:J16" si="0">SUM(C2:C15)</f>
        <v>0</v>
      </c>
      <c r="D16" s="1">
        <f t="shared" si="0"/>
        <v>0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0"/>
        <v>0</v>
      </c>
      <c r="I16" s="1">
        <f t="shared" si="0"/>
        <v>0</v>
      </c>
      <c r="J16" s="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3387-CE75-48F2-B1CA-6F3A64EAC080}">
  <dimension ref="A1:J9"/>
  <sheetViews>
    <sheetView workbookViewId="0"/>
  </sheetViews>
  <sheetFormatPr defaultRowHeight="15" x14ac:dyDescent="0.25"/>
  <cols>
    <col min="1" max="1" width="39.140625" customWidth="1"/>
    <col min="3" max="3" width="11" customWidth="1"/>
    <col min="4" max="4" width="19.7109375" customWidth="1"/>
    <col min="5" max="5" width="20.5703125" customWidth="1"/>
    <col min="6" max="6" width="12.140625" customWidth="1"/>
    <col min="7" max="7" width="20.85546875" customWidth="1"/>
    <col min="8" max="8" width="10.140625" customWidth="1"/>
    <col min="9" max="9" width="12.85546875" customWidth="1"/>
    <col min="10" max="10" width="14.28515625" customWidth="1"/>
  </cols>
  <sheetData>
    <row r="1" spans="1:10" ht="16.5" thickTop="1" thickBot="1" x14ac:dyDescent="0.3">
      <c r="A1" s="9"/>
      <c r="B1" s="9"/>
      <c r="C1" s="1" t="s">
        <v>21</v>
      </c>
      <c r="D1" s="1" t="s">
        <v>22</v>
      </c>
      <c r="E1" s="1" t="s">
        <v>31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ht="31.5" thickTop="1" thickBot="1" x14ac:dyDescent="0.3">
      <c r="A2" s="5" t="s">
        <v>20</v>
      </c>
      <c r="B2" s="4" t="s">
        <v>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1">
        <v>0</v>
      </c>
      <c r="J2" s="1">
        <v>0</v>
      </c>
    </row>
    <row r="3" spans="1:10" ht="31.5" thickTop="1" thickBot="1" x14ac:dyDescent="0.3">
      <c r="A3" s="5" t="s">
        <v>55</v>
      </c>
      <c r="B3" s="4" t="s">
        <v>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1">
        <v>0</v>
      </c>
      <c r="J3" s="1">
        <v>0</v>
      </c>
    </row>
    <row r="4" spans="1:10" ht="31.5" thickTop="1" thickBot="1" x14ac:dyDescent="0.3">
      <c r="A4" s="5" t="s">
        <v>56</v>
      </c>
      <c r="B4" s="4" t="s">
        <v>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1">
        <v>0</v>
      </c>
      <c r="J4" s="1">
        <v>0</v>
      </c>
    </row>
    <row r="5" spans="1:10" ht="31.5" thickTop="1" thickBot="1" x14ac:dyDescent="0.3">
      <c r="A5" s="6" t="s">
        <v>66</v>
      </c>
      <c r="B5" s="4" t="s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1">
        <v>0</v>
      </c>
      <c r="J5" s="1">
        <v>0</v>
      </c>
    </row>
    <row r="6" spans="1:10" ht="31.5" thickTop="1" thickBot="1" x14ac:dyDescent="0.3">
      <c r="A6" s="6" t="s">
        <v>68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1">
        <v>0</v>
      </c>
      <c r="J6" s="1">
        <v>0</v>
      </c>
    </row>
    <row r="7" spans="1:10" ht="31.5" thickTop="1" thickBot="1" x14ac:dyDescent="0.3">
      <c r="A7" s="6" t="s">
        <v>67</v>
      </c>
      <c r="B7" s="4" t="s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1">
        <v>0</v>
      </c>
      <c r="J7" s="1">
        <v>0</v>
      </c>
    </row>
    <row r="8" spans="1:10" ht="31.5" thickTop="1" thickBot="1" x14ac:dyDescent="0.3">
      <c r="A8" s="6" t="s">
        <v>69</v>
      </c>
      <c r="B8" s="4" t="s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1">
        <v>0</v>
      </c>
      <c r="J8" s="1">
        <v>0</v>
      </c>
    </row>
    <row r="9" spans="1:10" ht="15.75" thickTop="1" x14ac:dyDescent="0.25">
      <c r="C9" s="1">
        <f t="shared" ref="C9:J9" si="0">SUM(C2:C8)</f>
        <v>0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0</v>
      </c>
      <c r="J9" s="1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77C5-A0C1-48D2-829A-50F580B0B463}">
  <dimension ref="A1:I7"/>
  <sheetViews>
    <sheetView workbookViewId="0"/>
  </sheetViews>
  <sheetFormatPr defaultRowHeight="15" x14ac:dyDescent="0.25"/>
  <cols>
    <col min="1" max="1" width="14" customWidth="1"/>
    <col min="2" max="2" width="11.28515625" customWidth="1"/>
    <col min="3" max="3" width="20" customWidth="1"/>
    <col min="4" max="4" width="20.140625" customWidth="1"/>
    <col min="5" max="5" width="12.42578125" customWidth="1"/>
    <col min="6" max="6" width="20.5703125" customWidth="1"/>
    <col min="7" max="7" width="10.7109375" customWidth="1"/>
    <col min="8" max="8" width="13.140625" customWidth="1"/>
    <col min="9" max="9" width="13.85546875" customWidth="1"/>
  </cols>
  <sheetData>
    <row r="1" spans="1:9" x14ac:dyDescent="0.25">
      <c r="A1" s="1"/>
      <c r="B1" s="1" t="s">
        <v>21</v>
      </c>
      <c r="C1" s="1" t="s">
        <v>22</v>
      </c>
      <c r="D1" s="1" t="s">
        <v>31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25">
      <c r="A2" s="1" t="s">
        <v>15</v>
      </c>
      <c r="B2" s="1">
        <f>Asztali!C25</f>
        <v>0</v>
      </c>
      <c r="C2" s="1">
        <f>Asztali!D25</f>
        <v>0</v>
      </c>
      <c r="D2" s="1">
        <f>Asztali!E25</f>
        <v>0</v>
      </c>
      <c r="E2" s="1">
        <f>Asztali!F25</f>
        <v>0</v>
      </c>
      <c r="F2" s="1">
        <f>Asztali!G25</f>
        <v>0</v>
      </c>
      <c r="G2" s="1">
        <f>Asztali!H25</f>
        <v>0</v>
      </c>
      <c r="H2" s="1">
        <f>Asztali!I25</f>
        <v>0</v>
      </c>
      <c r="I2" s="1">
        <f>Asztali!J25</f>
        <v>0</v>
      </c>
    </row>
    <row r="3" spans="1:9" x14ac:dyDescent="0.25">
      <c r="A3" s="1" t="s">
        <v>16</v>
      </c>
      <c r="B3" s="2">
        <f>Backend!C15</f>
        <v>0</v>
      </c>
      <c r="C3" s="2">
        <f>Backend!D15</f>
        <v>0</v>
      </c>
      <c r="D3" s="2">
        <f>Backend!E15</f>
        <v>0</v>
      </c>
      <c r="E3" s="2">
        <f>Backend!F15</f>
        <v>0</v>
      </c>
      <c r="F3" s="2">
        <f>Backend!G15</f>
        <v>0</v>
      </c>
      <c r="G3" s="2">
        <f>Backend!H15</f>
        <v>0</v>
      </c>
      <c r="H3" s="2">
        <f>Backend!I15</f>
        <v>0</v>
      </c>
      <c r="I3" s="2">
        <f>Backend!J15</f>
        <v>0</v>
      </c>
    </row>
    <row r="4" spans="1:9" x14ac:dyDescent="0.25">
      <c r="A4" s="1" t="s">
        <v>17</v>
      </c>
      <c r="B4" s="2">
        <f>Frontend!C16</f>
        <v>0</v>
      </c>
      <c r="C4" s="2">
        <f>Frontend!D16</f>
        <v>0</v>
      </c>
      <c r="D4" s="2">
        <f>Frontend!E16</f>
        <v>0</v>
      </c>
      <c r="E4" s="2">
        <f>Frontend!F16</f>
        <v>0</v>
      </c>
      <c r="F4" s="2">
        <f>Frontend!G16</f>
        <v>0</v>
      </c>
      <c r="G4" s="2">
        <f>Backend!H16</f>
        <v>0</v>
      </c>
      <c r="H4" s="2">
        <f>Backend!I16</f>
        <v>0</v>
      </c>
      <c r="I4" s="2">
        <f>Backend!J16</f>
        <v>0</v>
      </c>
    </row>
    <row r="5" spans="1:9" x14ac:dyDescent="0.25">
      <c r="A5" s="1" t="s">
        <v>18</v>
      </c>
      <c r="B5" s="2">
        <f>Reszponzív!C9</f>
        <v>0</v>
      </c>
      <c r="C5" s="2">
        <f>Reszponzív!D9</f>
        <v>0</v>
      </c>
      <c r="D5" s="2">
        <f>Reszponzív!E9</f>
        <v>0</v>
      </c>
      <c r="E5" s="2">
        <f>Reszponzív!F9</f>
        <v>0</v>
      </c>
      <c r="F5" s="2">
        <f>Reszponzív!G9</f>
        <v>0</v>
      </c>
      <c r="G5" s="2">
        <f>Reszponzív!H9</f>
        <v>0</v>
      </c>
      <c r="H5" s="2">
        <f>Reszponzív!I9</f>
        <v>0</v>
      </c>
      <c r="I5" s="2">
        <f>Reszponzív!J9</f>
        <v>0</v>
      </c>
    </row>
    <row r="6" spans="1:9" x14ac:dyDescent="0.25">
      <c r="B6" s="1">
        <f t="shared" ref="B6:I6" si="0">SUM(B2:B5)</f>
        <v>0</v>
      </c>
      <c r="C6" s="1">
        <f t="shared" si="0"/>
        <v>0</v>
      </c>
      <c r="D6" s="1">
        <f t="shared" si="0"/>
        <v>0</v>
      </c>
      <c r="E6" s="1">
        <f t="shared" si="0"/>
        <v>0</v>
      </c>
      <c r="F6" s="1">
        <f t="shared" si="0"/>
        <v>0</v>
      </c>
      <c r="G6" s="1">
        <f t="shared" si="0"/>
        <v>0</v>
      </c>
      <c r="H6" s="1">
        <f t="shared" si="0"/>
        <v>0</v>
      </c>
      <c r="I6" s="1">
        <f t="shared" si="0"/>
        <v>0</v>
      </c>
    </row>
    <row r="7" spans="1:9" x14ac:dyDescent="0.25">
      <c r="B7" s="10">
        <f t="shared" ref="B7:I7" si="1">B6/65</f>
        <v>0</v>
      </c>
      <c r="C7" s="10">
        <f t="shared" si="1"/>
        <v>0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Asztali</vt:lpstr>
      <vt:lpstr>Backend</vt:lpstr>
      <vt:lpstr>Frontend</vt:lpstr>
      <vt:lpstr>Reszponzív</vt:lpstr>
      <vt:lpstr>Összesítés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Péter Róbert Bodrogi</cp:lastModifiedBy>
  <dcterms:created xsi:type="dcterms:W3CDTF">2015-06-05T18:19:34Z</dcterms:created>
  <dcterms:modified xsi:type="dcterms:W3CDTF">2026-05-17T13:38:15Z</dcterms:modified>
</cp:coreProperties>
</file>